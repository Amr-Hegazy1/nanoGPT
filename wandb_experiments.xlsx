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wsl.localhost\Ubuntu-22.04\home\amr\nanoGPT\"/>
    </mc:Choice>
  </mc:AlternateContent>
  <bookViews>
    <workbookView xWindow="0" yWindow="0" windowWidth="23040" windowHeight="8964"/>
  </bookViews>
  <sheets>
    <sheet name="wandb_experiments" sheetId="1" r:id="rId1"/>
  </sheets>
  <calcPr calcId="152511"/>
</workbook>
</file>

<file path=xl/calcChain.xml><?xml version="1.0" encoding="utf-8"?>
<calcChain xmlns="http://schemas.openxmlformats.org/spreadsheetml/2006/main">
  <c r="AB19" i="1" l="1"/>
  <c r="AB16" i="1"/>
  <c r="AB13" i="1"/>
  <c r="AB12" i="1"/>
  <c r="AB17" i="1"/>
  <c r="AB8" i="1"/>
  <c r="AB7" i="1"/>
  <c r="AB11" i="1"/>
  <c r="AB5" i="1"/>
  <c r="AB6" i="1"/>
  <c r="AB14" i="1"/>
  <c r="AB10" i="1"/>
  <c r="AB9" i="1"/>
  <c r="AB15" i="1"/>
  <c r="AB18" i="1"/>
  <c r="L18" i="1"/>
  <c r="L11" i="1"/>
  <c r="W5" i="1"/>
  <c r="W7" i="1"/>
  <c r="W8" i="1"/>
  <c r="W9" i="1"/>
  <c r="W6" i="1"/>
  <c r="Q6" i="1"/>
  <c r="L13" i="1"/>
  <c r="L10" i="1"/>
  <c r="L16" i="1"/>
  <c r="L5" i="1"/>
  <c r="L14" i="1"/>
  <c r="L15" i="1"/>
  <c r="L17" i="1"/>
  <c r="L8" i="1"/>
  <c r="L21" i="1"/>
  <c r="L12" i="1"/>
  <c r="L20" i="1"/>
  <c r="L6" i="1"/>
  <c r="L9" i="1"/>
  <c r="L7" i="1"/>
  <c r="W10" i="1"/>
  <c r="Q5" i="1"/>
  <c r="L19" i="1"/>
</calcChain>
</file>

<file path=xl/sharedStrings.xml><?xml version="1.0" encoding="utf-8"?>
<sst xmlns="http://schemas.openxmlformats.org/spreadsheetml/2006/main" count="136" uniqueCount="59">
  <si>
    <t>Experiment Name</t>
  </si>
  <si>
    <t>Final Val Loss</t>
  </si>
  <si>
    <t>attentive-stopping-hard-tokenwise</t>
  </si>
  <si>
    <t>attentive-stopping-tokenwise-fixed-edge-noise</t>
  </si>
  <si>
    <t>attentive-stopping-tokenwise-fixed-edge-noise-prelude-injection-concat</t>
  </si>
  <si>
    <t>baseline</t>
  </si>
  <si>
    <t>moe-hard-routing</t>
  </si>
  <si>
    <t>moe-soft-routing</t>
  </si>
  <si>
    <t>oracle-stopping-tokenwise</t>
  </si>
  <si>
    <t>oracle-stopping-tokenwise-fixed-edge-noise-predlude-injection-concat</t>
  </si>
  <si>
    <t>reccurent-attentive-stopping-fixed-edge-noise</t>
  </si>
  <si>
    <t>recurrent-1-1-1-peak-32</t>
  </si>
  <si>
    <t>recurrent-1-2-1-peak-16</t>
  </si>
  <si>
    <t>recurrent-1-2-1-peak-32</t>
  </si>
  <si>
    <t>recurrent-2-4-2</t>
  </si>
  <si>
    <t>recurrent-2-4-2-learned-stopping-prelude-injection-add-noise</t>
  </si>
  <si>
    <t>recurrent-attentive-stopping</t>
  </si>
  <si>
    <t>recurrent-attentive-stopping-tokenwise</t>
  </si>
  <si>
    <t>recurrent-depth-curriculum-ascending</t>
  </si>
  <si>
    <t>recurrent-depth-curriculum-descending</t>
  </si>
  <si>
    <t>recurrent-extra-layernorm</t>
  </si>
  <si>
    <t>recurrent-extra-rmsnorm</t>
  </si>
  <si>
    <t>recurrent-fixed-edge-add-noise</t>
  </si>
  <si>
    <t>recurrent-fixed-edge-add-noise-rmsnorm</t>
  </si>
  <si>
    <t>recurrent-learned-stopping-fixed-edge-noise</t>
  </si>
  <si>
    <t>recurrent-learned-stopping-fixed-edge-noise-hyperparameter</t>
  </si>
  <si>
    <t>recurrent-learned-stopping-fixed-edge-noise-prelude-injection</t>
  </si>
  <si>
    <t>recurrent-learned-stopping-tokenwise</t>
  </si>
  <si>
    <t>recurrent-learned-stopping-tokenwise-fixed-edge</t>
  </si>
  <si>
    <t>recurrent-learned-stopping-tokenwise-fixed-edge-noise-concat</t>
  </si>
  <si>
    <t>recurrent-learned-stopping-tokenwise-fixed-edge-noise-prelude-injection-concat</t>
  </si>
  <si>
    <t>recurrent-moe-fixed-edge-add-noise</t>
  </si>
  <si>
    <t>recurrent-prelude-injection</t>
  </si>
  <si>
    <t>recurrent-prelude-injection-concat</t>
  </si>
  <si>
    <t>recurrent-rms-norm</t>
  </si>
  <si>
    <t>recurrent-shared</t>
  </si>
  <si>
    <t>recurrent-shared-layer-dropout</t>
  </si>
  <si>
    <t>recurrent-shared-learned-stopping</t>
  </si>
  <si>
    <t>recurrent-shared-loss-scaling</t>
  </si>
  <si>
    <t>recurrent-shared-moe</t>
  </si>
  <si>
    <t>recurrent-shared-moe-loss-scaling</t>
  </si>
  <si>
    <t>recurrent-shared-sticky-dropout</t>
  </si>
  <si>
    <t>shared-moe</t>
  </si>
  <si>
    <t>Learnt Stopping</t>
  </si>
  <si>
    <t>Curriculum</t>
  </si>
  <si>
    <t>MoE</t>
  </si>
  <si>
    <t>Rest</t>
  </si>
  <si>
    <t>Baseline Error %</t>
  </si>
  <si>
    <t>Tokenwise</t>
  </si>
  <si>
    <t>Sequencewise</t>
  </si>
  <si>
    <t>Prelude Injection</t>
  </si>
  <si>
    <t>Type</t>
  </si>
  <si>
    <t>Fixed Edge</t>
  </si>
  <si>
    <t>No</t>
  </si>
  <si>
    <t>Noise Added</t>
  </si>
  <si>
    <t>None</t>
  </si>
  <si>
    <t>Concatenation</t>
  </si>
  <si>
    <t>Addition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</si>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</sst>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">
    <xf numFmtId="0" fontId="0" fillId="0" borderId="0" xfId="0"/>
    <xf numFmtId="0" fontId="0" fillId="0" borderId="0" xfId="0" applyAlignment="1">
      <alignment vertical="center" wrapText="1"/>
    </xf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/>
    <xf numFmtId="0" fontId="16" fillId="34" borderId="10" xfId="0" applyFont="1" applyFill="1" applyBorder="1"/>
    <xf numFmtId="164" fontId="0" fillId="0" borderId="10" xfId="1" applyNumberFormat="1" applyFont="1" applyBorder="1" applyAlignment="1">
      <alignment vertical="center" wrapText="1"/>
    </xf>
    <xf numFmtId="164" fontId="0" fillId="0" borderId="10" xfId="1" applyNumberFormat="1" applyFont="1" applyBorder="1"/>
    <xf numFmtId="2" fontId="0" fillId="0" borderId="10" xfId="0" applyNumberFormat="1" applyBorder="1" applyAlignment="1">
      <alignment vertical="center" wrapText="1"/>
    </xf>
    <xf numFmtId="2" fontId="16" fillId="34" borderId="10" xfId="0" applyNumberFormat="1" applyFont="1" applyFill="1" applyBorder="1"/>
    <xf numFmtId="0" fontId="18" fillId="33" borderId="10" xfId="0" applyFont="1" applyFill="1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2" fontId="0" fillId="0" borderId="10" xfId="0" applyNumberFormat="1" applyBorder="1" applyAlignment="1">
      <alignment horizontal="center" vertical="center" wrapText="1"/>
    </xf>
    <xf numFmtId="164" fontId="0" fillId="0" borderId="10" xfId="1" applyNumberFormat="1" applyFont="1" applyBorder="1" applyAlignment="1">
      <alignment horizontal="center" vertical="center" wrapTex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B21"/>
  <sheetViews>
    <sheetView tabSelected="1" workbookViewId="0">
      <selection activeCell="Y7" sqref="Y7"/>
    </sheetView>
  </sheetViews>
  <sheetFormatPr defaultRowHeight="14.4" x14ac:dyDescent="0.3"/>
  <cols>
    <col min="5" max="5" width="9.21875" customWidth="1"/>
    <col min="6" max="10" width="18.44140625" customWidth="1"/>
    <col min="11" max="11" width="11.5546875" bestFit="1" customWidth="1"/>
    <col min="12" max="12" width="11.5546875" customWidth="1"/>
    <col min="15" max="15" width="26.88671875" customWidth="1"/>
    <col min="16" max="16" width="11.5546875" bestFit="1" customWidth="1"/>
    <col min="17" max="17" width="11.5546875" customWidth="1"/>
    <col min="20" max="21" width="36.5546875" customWidth="1"/>
    <col min="22" max="22" width="11.5546875" bestFit="1" customWidth="1"/>
    <col min="23" max="23" width="11.5546875" customWidth="1"/>
    <col min="26" max="26" width="21.21875" customWidth="1"/>
    <col min="27" max="27" width="11.6640625" customWidth="1"/>
  </cols>
  <sheetData>
    <row r="3" spans="2:28" ht="18" x14ac:dyDescent="0.35">
      <c r="B3" s="6" t="s">
        <v>5</v>
      </c>
      <c r="C3" s="10">
        <v>4.0368528369999996</v>
      </c>
      <c r="F3" s="11" t="s">
        <v>43</v>
      </c>
      <c r="G3" s="11"/>
      <c r="H3" s="11"/>
      <c r="I3" s="11"/>
      <c r="J3" s="11"/>
      <c r="K3" s="11"/>
      <c r="L3" s="11"/>
      <c r="O3" s="11" t="s">
        <v>44</v>
      </c>
      <c r="P3" s="11"/>
      <c r="Q3" s="11"/>
      <c r="T3" s="11" t="s">
        <v>45</v>
      </c>
      <c r="U3" s="11"/>
      <c r="V3" s="11"/>
      <c r="W3" s="11"/>
      <c r="Z3" s="11" t="s">
        <v>46</v>
      </c>
      <c r="AA3" s="11"/>
      <c r="AB3" s="11"/>
    </row>
    <row r="4" spans="2:28" ht="28.8" x14ac:dyDescent="0.3">
      <c r="F4" s="2" t="s">
        <v>0</v>
      </c>
      <c r="G4" s="2" t="s">
        <v>54</v>
      </c>
      <c r="H4" s="2" t="s">
        <v>52</v>
      </c>
      <c r="I4" s="2" t="s">
        <v>50</v>
      </c>
      <c r="J4" s="2" t="s">
        <v>51</v>
      </c>
      <c r="K4" s="2" t="s">
        <v>1</v>
      </c>
      <c r="L4" s="2" t="s">
        <v>47</v>
      </c>
      <c r="O4" s="2" t="s">
        <v>0</v>
      </c>
      <c r="P4" s="2" t="s">
        <v>1</v>
      </c>
      <c r="Q4" s="2" t="s">
        <v>47</v>
      </c>
      <c r="T4" s="2" t="s">
        <v>0</v>
      </c>
      <c r="U4" s="2" t="s">
        <v>52</v>
      </c>
      <c r="V4" s="2" t="s">
        <v>1</v>
      </c>
      <c r="W4" s="2" t="s">
        <v>47</v>
      </c>
      <c r="Z4" s="2" t="s">
        <v>0</v>
      </c>
      <c r="AA4" s="2" t="s">
        <v>1</v>
      </c>
      <c r="AB4" s="2" t="s">
        <v>47</v>
      </c>
    </row>
    <row r="5" spans="2:28" ht="57.6" x14ac:dyDescent="0.3">
      <c r="F5" s="12" t="s">
        <v>9</v>
      </c>
      <c r="G5" s="12" t="s">
        <v>58</v>
      </c>
      <c r="H5" s="12" t="s">
        <v>58</v>
      </c>
      <c r="I5" s="12" t="s">
        <v>56</v>
      </c>
      <c r="J5" s="12" t="s">
        <v>48</v>
      </c>
      <c r="K5" s="13">
        <v>4.079188824</v>
      </c>
      <c r="L5" s="14">
        <f>(K5-$C$3)/$C$3</f>
        <v>1.0487374375396487E-2</v>
      </c>
      <c r="O5" s="3" t="s">
        <v>18</v>
      </c>
      <c r="P5" s="9">
        <v>4.3628730769999997</v>
      </c>
      <c r="Q5" s="7">
        <f>(P5-$C$3)/$C$3</f>
        <v>8.0760992080722738E-2</v>
      </c>
      <c r="T5" s="3" t="s">
        <v>7</v>
      </c>
      <c r="U5" s="3" t="s">
        <v>53</v>
      </c>
      <c r="V5" s="9">
        <v>3.9312660689999999</v>
      </c>
      <c r="W5" s="7">
        <f>(V5-$C$3)/$C$3</f>
        <v>-2.6155713934438822E-2</v>
      </c>
      <c r="Z5" s="3" t="s">
        <v>32</v>
      </c>
      <c r="AA5" s="9">
        <v>4.1265993119999997</v>
      </c>
      <c r="AB5" s="8">
        <f>(AA5-$C$3)/$C$3</f>
        <v>2.2231792592839597E-2</v>
      </c>
    </row>
    <row r="6" spans="2:28" ht="43.2" x14ac:dyDescent="0.3">
      <c r="F6" s="12" t="s">
        <v>28</v>
      </c>
      <c r="G6" s="12" t="s">
        <v>53</v>
      </c>
      <c r="H6" s="12" t="s">
        <v>58</v>
      </c>
      <c r="I6" s="12" t="s">
        <v>55</v>
      </c>
      <c r="J6" s="12" t="s">
        <v>48</v>
      </c>
      <c r="K6" s="13">
        <v>4.0895862579999998</v>
      </c>
      <c r="L6" s="14">
        <f>(K6-$C$3)/$C$3</f>
        <v>1.3063003069289276E-2</v>
      </c>
      <c r="O6" s="3" t="s">
        <v>19</v>
      </c>
      <c r="P6" s="9">
        <v>5.39</v>
      </c>
      <c r="Q6" s="7">
        <f>(P6-$C$3)/$C$3</f>
        <v>0.3351985364929963</v>
      </c>
      <c r="T6" s="3" t="s">
        <v>42</v>
      </c>
      <c r="U6" s="3" t="s">
        <v>53</v>
      </c>
      <c r="V6" s="9">
        <v>4.1266374590000003</v>
      </c>
      <c r="W6" s="7">
        <f>(V6-$C$3)/$C$3</f>
        <v>2.2241242280886423E-2</v>
      </c>
      <c r="Z6" s="3" t="s">
        <v>33</v>
      </c>
      <c r="AA6" s="9">
        <v>4.1907043460000004</v>
      </c>
      <c r="AB6" s="8">
        <f>(AA6-$C$3)/$C$3</f>
        <v>3.8111745761417459E-2</v>
      </c>
    </row>
    <row r="7" spans="2:28" ht="72" x14ac:dyDescent="0.3">
      <c r="F7" s="12" t="s">
        <v>30</v>
      </c>
      <c r="G7" s="12" t="s">
        <v>58</v>
      </c>
      <c r="H7" s="12" t="s">
        <v>58</v>
      </c>
      <c r="I7" s="12" t="s">
        <v>56</v>
      </c>
      <c r="J7" s="12" t="s">
        <v>48</v>
      </c>
      <c r="K7" s="13">
        <v>4.1005005839999997</v>
      </c>
      <c r="L7" s="14">
        <f>(K7-$C$3)/$C$3</f>
        <v>1.5766675073372285E-2</v>
      </c>
      <c r="Q7" s="4"/>
      <c r="T7" s="3" t="s">
        <v>31</v>
      </c>
      <c r="U7" s="3" t="s">
        <v>58</v>
      </c>
      <c r="V7" s="9">
        <v>4.203456879</v>
      </c>
      <c r="W7" s="7">
        <f>(V7-$C$3)/$C$3</f>
        <v>4.1270774221190749E-2</v>
      </c>
      <c r="Z7" s="3" t="s">
        <v>22</v>
      </c>
      <c r="AA7" s="9">
        <v>4.3379292490000001</v>
      </c>
      <c r="AB7" s="8">
        <f>(AA7-$C$3)/$C$3</f>
        <v>7.4581963761588682E-2</v>
      </c>
    </row>
    <row r="8" spans="2:28" ht="43.2" x14ac:dyDescent="0.3">
      <c r="F8" s="12" t="s">
        <v>24</v>
      </c>
      <c r="G8" s="12" t="s">
        <v>58</v>
      </c>
      <c r="H8" s="12" t="s">
        <v>58</v>
      </c>
      <c r="I8" s="12" t="s">
        <v>55</v>
      </c>
      <c r="J8" s="12" t="s">
        <v>49</v>
      </c>
      <c r="K8" s="13">
        <v>4.114993095</v>
      </c>
      <c r="L8" s="14">
        <f>(K8-$C$3)/$C$3</f>
        <v>1.9356726924450021E-2</v>
      </c>
      <c r="O8" s="4"/>
      <c r="P8" s="4"/>
      <c r="Q8" s="4"/>
      <c r="T8" s="3" t="s">
        <v>39</v>
      </c>
      <c r="U8" s="3" t="s">
        <v>53</v>
      </c>
      <c r="V8" s="9">
        <v>4.2069292069999999</v>
      </c>
      <c r="W8" s="7">
        <f>(V8-$C$3)/$C$3</f>
        <v>4.213093141299476E-2</v>
      </c>
      <c r="Z8" s="3" t="s">
        <v>21</v>
      </c>
      <c r="AA8" s="9">
        <v>4.3835220340000003</v>
      </c>
      <c r="AB8" s="8">
        <f>(AA8-$C$3)/$C$3</f>
        <v>8.5876104727570152E-2</v>
      </c>
    </row>
    <row r="9" spans="2:28" ht="57.6" x14ac:dyDescent="0.3">
      <c r="F9" s="12" t="s">
        <v>29</v>
      </c>
      <c r="G9" s="12" t="s">
        <v>58</v>
      </c>
      <c r="H9" s="12" t="s">
        <v>58</v>
      </c>
      <c r="I9" s="12" t="s">
        <v>55</v>
      </c>
      <c r="J9" s="12" t="s">
        <v>48</v>
      </c>
      <c r="K9" s="13">
        <v>4.1275949479999996</v>
      </c>
      <c r="L9" s="14">
        <f>(K9-$C$3)/$C$3</f>
        <v>2.2478429277455469E-2</v>
      </c>
      <c r="O9" s="4"/>
      <c r="P9" s="4"/>
      <c r="Q9" s="4"/>
      <c r="T9" s="3" t="s">
        <v>40</v>
      </c>
      <c r="U9" s="3" t="s">
        <v>53</v>
      </c>
      <c r="V9" s="9">
        <v>4.2604742050000004</v>
      </c>
      <c r="W9" s="7">
        <f>(V9-$C$3)/$C$3</f>
        <v>5.539497649019718E-2</v>
      </c>
      <c r="Z9" s="3" t="s">
        <v>36</v>
      </c>
      <c r="AA9" s="9">
        <v>4.3937797549999997</v>
      </c>
      <c r="AB9" s="8">
        <f>(AA9-$C$3)/$C$3</f>
        <v>8.841712403498253E-2</v>
      </c>
    </row>
    <row r="10" spans="2:28" ht="57.6" x14ac:dyDescent="0.3">
      <c r="F10" s="12" t="s">
        <v>4</v>
      </c>
      <c r="G10" s="12" t="s">
        <v>58</v>
      </c>
      <c r="H10" s="12" t="s">
        <v>58</v>
      </c>
      <c r="I10" s="12" t="s">
        <v>56</v>
      </c>
      <c r="J10" s="12" t="s">
        <v>48</v>
      </c>
      <c r="K10" s="13">
        <v>4.1929607390000001</v>
      </c>
      <c r="L10" s="14">
        <f>(K10-$C$3)/$C$3</f>
        <v>3.867069430155709E-2</v>
      </c>
      <c r="O10" s="5"/>
      <c r="P10" s="5"/>
      <c r="Q10" s="5"/>
      <c r="T10" s="3" t="s">
        <v>6</v>
      </c>
      <c r="U10" s="3" t="s">
        <v>53</v>
      </c>
      <c r="V10" s="9">
        <v>4.267273426</v>
      </c>
      <c r="W10" s="7">
        <f>(V10-$C$3)/$C$3</f>
        <v>5.7079264046503667E-2</v>
      </c>
      <c r="Z10" s="3" t="s">
        <v>35</v>
      </c>
      <c r="AA10" s="9">
        <v>4.3990736009999996</v>
      </c>
      <c r="AB10" s="8">
        <f>(AA10-$C$3)/$C$3</f>
        <v>8.9728503521368255E-2</v>
      </c>
    </row>
    <row r="11" spans="2:28" ht="57.6" x14ac:dyDescent="0.3">
      <c r="F11" s="12" t="s">
        <v>15</v>
      </c>
      <c r="G11" s="12" t="s">
        <v>58</v>
      </c>
      <c r="H11" s="12" t="s">
        <v>53</v>
      </c>
      <c r="I11" s="12" t="s">
        <v>57</v>
      </c>
      <c r="J11" s="12" t="s">
        <v>49</v>
      </c>
      <c r="K11" s="13">
        <v>4.205882549</v>
      </c>
      <c r="L11" s="14">
        <f>(K11-$C$3)/$C$3</f>
        <v>4.1871655674625821E-2</v>
      </c>
      <c r="O11" s="5"/>
      <c r="P11" s="5"/>
      <c r="Q11" s="5"/>
      <c r="Z11" s="3" t="s">
        <v>23</v>
      </c>
      <c r="AA11" s="9">
        <v>4.4087486269999996</v>
      </c>
      <c r="AB11" s="8">
        <f>(AA11-$C$3)/$C$3</f>
        <v>9.2125178949147804E-2</v>
      </c>
    </row>
    <row r="12" spans="2:28" ht="57.6" x14ac:dyDescent="0.3">
      <c r="F12" s="12" t="s">
        <v>26</v>
      </c>
      <c r="G12" s="12" t="s">
        <v>58</v>
      </c>
      <c r="H12" s="12" t="s">
        <v>58</v>
      </c>
      <c r="I12" s="12" t="s">
        <v>57</v>
      </c>
      <c r="J12" s="12" t="s">
        <v>49</v>
      </c>
      <c r="K12" s="13">
        <v>4.2107157710000003</v>
      </c>
      <c r="L12" s="14">
        <f>(K12-$C$3)/$C$3</f>
        <v>4.3068930431758676E-2</v>
      </c>
      <c r="O12" s="5"/>
      <c r="P12" s="5"/>
      <c r="Q12" s="5"/>
      <c r="Z12" s="3" t="s">
        <v>14</v>
      </c>
      <c r="AA12" s="9">
        <v>4.4133310320000003</v>
      </c>
      <c r="AB12" s="8">
        <f>(AA12-$C$3)/$C$3</f>
        <v>9.3260321889707939E-2</v>
      </c>
    </row>
    <row r="13" spans="2:28" ht="43.2" x14ac:dyDescent="0.3">
      <c r="F13" s="12" t="s">
        <v>3</v>
      </c>
      <c r="G13" s="12" t="s">
        <v>58</v>
      </c>
      <c r="H13" s="12" t="s">
        <v>58</v>
      </c>
      <c r="I13" s="12" t="s">
        <v>55</v>
      </c>
      <c r="J13" s="12" t="s">
        <v>48</v>
      </c>
      <c r="K13" s="13">
        <v>4.2276506420000004</v>
      </c>
      <c r="L13" s="14">
        <f>(K13-$C$3)/$C$3</f>
        <v>4.7263998145097796E-2</v>
      </c>
      <c r="O13" s="5"/>
      <c r="P13" s="5"/>
      <c r="Q13" s="5"/>
      <c r="Z13" s="3" t="s">
        <v>13</v>
      </c>
      <c r="AA13" s="9">
        <v>4.4532914159999999</v>
      </c>
      <c r="AB13" s="8">
        <f>(AA13-$C$3)/$C$3</f>
        <v>0.10315921729499507</v>
      </c>
    </row>
    <row r="14" spans="2:28" ht="43.2" x14ac:dyDescent="0.3">
      <c r="F14" s="12" t="s">
        <v>10</v>
      </c>
      <c r="G14" s="12" t="s">
        <v>58</v>
      </c>
      <c r="H14" s="12" t="s">
        <v>58</v>
      </c>
      <c r="I14" s="12" t="s">
        <v>55</v>
      </c>
      <c r="J14" s="12" t="s">
        <v>49</v>
      </c>
      <c r="K14" s="13">
        <v>4.2369751930000001</v>
      </c>
      <c r="L14" s="14">
        <f>(K14-$C$3)/$C$3</f>
        <v>4.9573854703289628E-2</v>
      </c>
      <c r="O14" s="5"/>
      <c r="P14" s="5"/>
      <c r="Q14" s="5"/>
      <c r="Z14" s="3" t="s">
        <v>34</v>
      </c>
      <c r="AA14" s="9">
        <v>4.4799809460000004</v>
      </c>
      <c r="AB14" s="8">
        <f>(AA14-$C$3)/$C$3</f>
        <v>0.10977068694169016</v>
      </c>
    </row>
    <row r="15" spans="2:28" ht="28.8" x14ac:dyDescent="0.3">
      <c r="F15" s="12" t="s">
        <v>16</v>
      </c>
      <c r="G15" s="12" t="s">
        <v>53</v>
      </c>
      <c r="H15" s="12" t="s">
        <v>53</v>
      </c>
      <c r="I15" s="12" t="s">
        <v>55</v>
      </c>
      <c r="J15" s="12" t="s">
        <v>49</v>
      </c>
      <c r="K15" s="13">
        <v>4.3064112659999996</v>
      </c>
      <c r="L15" s="14">
        <f>(K15-$C$3)/$C$3</f>
        <v>6.6774400723590199E-2</v>
      </c>
      <c r="Z15" s="3" t="s">
        <v>38</v>
      </c>
      <c r="AA15" s="9">
        <v>4.4980082509999999</v>
      </c>
      <c r="AB15" s="8">
        <f>(AA15-$C$3)/$C$3</f>
        <v>0.11423636991996701</v>
      </c>
    </row>
    <row r="16" spans="2:28" ht="28.8" x14ac:dyDescent="0.3">
      <c r="F16" s="12" t="s">
        <v>8</v>
      </c>
      <c r="G16" s="12" t="s">
        <v>53</v>
      </c>
      <c r="H16" s="12" t="s">
        <v>53</v>
      </c>
      <c r="I16" s="12" t="s">
        <v>55</v>
      </c>
      <c r="J16" s="12" t="s">
        <v>48</v>
      </c>
      <c r="K16" s="13">
        <v>4.3324179650000003</v>
      </c>
      <c r="L16" s="14">
        <f>(K16-$C$3)/$C$3</f>
        <v>7.3216721028565135E-2</v>
      </c>
      <c r="Z16" s="3" t="s">
        <v>12</v>
      </c>
      <c r="AA16" s="9">
        <v>4.5143208499999998</v>
      </c>
      <c r="AB16" s="8">
        <f>(AA16-$C$3)/$C$3</f>
        <v>0.11827728982928</v>
      </c>
    </row>
    <row r="17" spans="6:28" ht="28.8" x14ac:dyDescent="0.3">
      <c r="F17" s="12" t="s">
        <v>17</v>
      </c>
      <c r="G17" s="12" t="s">
        <v>53</v>
      </c>
      <c r="H17" s="12" t="s">
        <v>53</v>
      </c>
      <c r="I17" s="12" t="s">
        <v>55</v>
      </c>
      <c r="J17" s="12" t="s">
        <v>48</v>
      </c>
      <c r="K17" s="13">
        <v>4.3486528399999997</v>
      </c>
      <c r="L17" s="14">
        <f>(K17-$C$3)/$C$3</f>
        <v>7.7238387325438224E-2</v>
      </c>
      <c r="Z17" s="3" t="s">
        <v>20</v>
      </c>
      <c r="AA17" s="9">
        <v>4.5630946159999999</v>
      </c>
      <c r="AB17" s="8">
        <f>(AA17-$C$3)/$C$3</f>
        <v>0.13035941617110783</v>
      </c>
    </row>
    <row r="18" spans="6:28" ht="28.8" x14ac:dyDescent="0.3">
      <c r="F18" s="12" t="s">
        <v>37</v>
      </c>
      <c r="G18" s="12" t="s">
        <v>53</v>
      </c>
      <c r="H18" s="12" t="s">
        <v>53</v>
      </c>
      <c r="I18" s="12" t="s">
        <v>55</v>
      </c>
      <c r="J18" s="12" t="s">
        <v>49</v>
      </c>
      <c r="K18" s="13">
        <v>4.367777824</v>
      </c>
      <c r="L18" s="14">
        <f>(K18-$C$3)/$C$3</f>
        <v>8.1975984848119549E-2</v>
      </c>
      <c r="Z18" s="3" t="s">
        <v>41</v>
      </c>
      <c r="AA18" s="9">
        <v>4.6730041499999997</v>
      </c>
      <c r="AB18" s="8">
        <f>(AA18-$C$3)/$C$3</f>
        <v>0.15758595586376589</v>
      </c>
    </row>
    <row r="19" spans="6:28" ht="28.8" x14ac:dyDescent="0.3">
      <c r="F19" s="12" t="s">
        <v>2</v>
      </c>
      <c r="G19" s="12" t="s">
        <v>53</v>
      </c>
      <c r="H19" s="12" t="s">
        <v>53</v>
      </c>
      <c r="I19" s="12" t="s">
        <v>55</v>
      </c>
      <c r="J19" s="12" t="s">
        <v>48</v>
      </c>
      <c r="K19" s="12">
        <v>5.01</v>
      </c>
      <c r="L19" s="14">
        <f>(K19-$C$3)/$C$3</f>
        <v>0.24106580108161627</v>
      </c>
      <c r="Z19" s="3" t="s">
        <v>11</v>
      </c>
      <c r="AA19" s="9">
        <v>5.3681554790000003</v>
      </c>
      <c r="AB19" s="8">
        <f>(AA19-$C$3)/$C$3</f>
        <v>0.32978726145225612</v>
      </c>
    </row>
    <row r="20" spans="6:28" ht="28.8" x14ac:dyDescent="0.3">
      <c r="F20" s="12" t="s">
        <v>27</v>
      </c>
      <c r="G20" s="12" t="s">
        <v>53</v>
      </c>
      <c r="H20" s="12" t="s">
        <v>53</v>
      </c>
      <c r="I20" s="12" t="s">
        <v>55</v>
      </c>
      <c r="J20" s="12" t="s">
        <v>48</v>
      </c>
      <c r="K20" s="13">
        <v>6.5118994710000004</v>
      </c>
      <c r="L20" s="14">
        <f>(K20-$C$3)/$C$3</f>
        <v>0.61311292086618141</v>
      </c>
    </row>
    <row r="21" spans="6:28" ht="57.6" x14ac:dyDescent="0.3">
      <c r="F21" s="12" t="s">
        <v>25</v>
      </c>
      <c r="G21" s="12" t="s">
        <v>58</v>
      </c>
      <c r="H21" s="12" t="s">
        <v>58</v>
      </c>
      <c r="I21" s="12" t="s">
        <v>55</v>
      </c>
      <c r="J21" s="12" t="s">
        <v>49</v>
      </c>
      <c r="K21" s="13">
        <v>7.0834636690000004</v>
      </c>
      <c r="L21" s="14">
        <f>(K21-$C$3)/$C$3</f>
        <v>0.75469950355289628</v>
      </c>
      <c r="Z21" s="1"/>
      <c r="AA21" s="1"/>
    </row>
  </sheetData>
  <sortState ref="Z5:AB19">
    <sortCondition ref="AB4"/>
  </sortState>
  <mergeCells count="4">
    <mergeCell ref="F3:L3"/>
    <mergeCell ref="O3:Q3"/>
    <mergeCell ref="T3:W3"/>
    <mergeCell ref="Z3:AB3"/>
  </mergeCells>
  <conditionalFormatting sqref="L5:L2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:W10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:AB1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wandb_experiments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Hegazy</dc:creator>
  <cp:lastModifiedBy>Amr Hegazy</cp:lastModifiedBy>
  <dcterms:created xsi:type="dcterms:W3CDTF">2025-11-14T15:08:38Z</dcterms:created>
  <dcterms:modified xsi:type="dcterms:W3CDTF">2025-11-15T15:26:55Z</dcterms:modified>
</cp:coreProperties>
</file>